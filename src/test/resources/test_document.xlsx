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545" windowHeight="5715"/>
  </bookViews>
  <sheets>
    <sheet name="Общая" sheetId="1" r:id="rId1"/>
    <sheet name="СМР" sheetId="2" r:id="rId2"/>
  </sheets>
  <calcPr calcId="162913"/>
</workbook>
</file>

<file path=xl/calcChain.xml><?xml version="1.0" encoding="utf-8"?>
<calcChain xmlns="http://schemas.openxmlformats.org/spreadsheetml/2006/main">
  <c r="L22" i="2" l="1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N7" i="1"/>
  <c r="J7" i="1"/>
  <c r="C7" i="1" s="1"/>
  <c r="I7" i="1"/>
  <c r="L7" i="1" s="1"/>
  <c r="G7" i="1"/>
  <c r="E7" i="1"/>
  <c r="N6" i="1"/>
  <c r="J6" i="1"/>
  <c r="C6" i="1" s="1"/>
  <c r="I6" i="1"/>
  <c r="L6" i="1" s="1"/>
  <c r="G6" i="1"/>
  <c r="E6" i="1"/>
  <c r="N5" i="1"/>
  <c r="J5" i="1"/>
  <c r="C5" i="1" s="1"/>
  <c r="I5" i="1"/>
  <c r="L5" i="1" s="1"/>
  <c r="G5" i="1"/>
  <c r="E5" i="1"/>
  <c r="N4" i="1"/>
  <c r="J4" i="1"/>
  <c r="C4" i="1" s="1"/>
  <c r="I4" i="1"/>
  <c r="L4" i="1" s="1"/>
  <c r="G4" i="1"/>
  <c r="E4" i="1"/>
  <c r="N3" i="1"/>
  <c r="J3" i="1"/>
  <c r="C3" i="1" s="1"/>
  <c r="I3" i="1"/>
  <c r="L3" i="1" s="1"/>
  <c r="G3" i="1"/>
  <c r="E3" i="1"/>
  <c r="N2" i="1"/>
  <c r="L2" i="1" l="1"/>
  <c r="M3" i="1"/>
  <c r="M4" i="1"/>
  <c r="M5" i="1"/>
  <c r="M6" i="1"/>
  <c r="M7" i="1"/>
  <c r="M2" i="1" l="1"/>
</calcChain>
</file>

<file path=xl/sharedStrings.xml><?xml version="1.0" encoding="utf-8"?>
<sst xmlns="http://schemas.openxmlformats.org/spreadsheetml/2006/main" count="252" uniqueCount="121">
  <si>
    <t>Тип</t>
  </si>
  <si>
    <t>Номер ДВРЦ</t>
  </si>
  <si>
    <t>Разница СМР-РД</t>
  </si>
  <si>
    <t>Наименование вида работ</t>
  </si>
  <si>
    <t>Организация</t>
  </si>
  <si>
    <t>Ед.Изм.</t>
  </si>
  <si>
    <t>ВРЦ</t>
  </si>
  <si>
    <t>РД</t>
  </si>
  <si>
    <t>Факт построенный</t>
  </si>
  <si>
    <t>СМР принятый</t>
  </si>
  <si>
    <t>ИД</t>
  </si>
  <si>
    <t>Факт построенный, %</t>
  </si>
  <si>
    <t>СМР принятый, %</t>
  </si>
  <si>
    <t>ИД, %</t>
  </si>
  <si>
    <t>Вес работ, %</t>
  </si>
  <si>
    <t>Дата начала</t>
  </si>
  <si>
    <t>Дата окончания</t>
  </si>
  <si>
    <t>План, %</t>
  </si>
  <si>
    <t>Иерархия</t>
  </si>
  <si>
    <t>Веха</t>
  </si>
  <si>
    <t>3</t>
  </si>
  <si>
    <t>н</t>
  </si>
  <si>
    <t>01-08-2026</t>
  </si>
  <si>
    <t>27-08-2026</t>
  </si>
  <si>
    <t>Задача</t>
  </si>
  <si>
    <t>DVRC-101</t>
  </si>
  <si>
    <t>Тест ДВРЦ2</t>
  </si>
  <si>
    <t>стык</t>
  </si>
  <si>
    <t>1</t>
  </si>
  <si>
    <t>33пппп</t>
  </si>
  <si>
    <t>к-с</t>
  </si>
  <si>
    <t>4</t>
  </si>
  <si>
    <t>11пппаа</t>
  </si>
  <si>
    <t>%</t>
  </si>
  <si>
    <t>щ</t>
  </si>
  <si>
    <t>щщ</t>
  </si>
  <si>
    <t>м</t>
  </si>
  <si>
    <t>48</t>
  </si>
  <si>
    <t>44</t>
  </si>
  <si>
    <t>пм</t>
  </si>
  <si>
    <t>33</t>
  </si>
  <si>
    <t>4445555</t>
  </si>
  <si>
    <t>08-09-2026</t>
  </si>
  <si>
    <t>16-09-2026</t>
  </si>
  <si>
    <t>Тип*</t>
  </si>
  <si>
    <t>Номер ДВРЦ*</t>
  </si>
  <si>
    <t>Наименование вида работ*</t>
  </si>
  <si>
    <t>Организация*</t>
  </si>
  <si>
    <t>Тип объема СМР</t>
  </si>
  <si>
    <t>Ед.Изм.*</t>
  </si>
  <si>
    <t>Объем ранее выполненных работ</t>
  </si>
  <si>
    <t>Объем ВРЦ</t>
  </si>
  <si>
    <t>Объем РД</t>
  </si>
  <si>
    <t>Объем СМР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</si>
  <si>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</si>
  <si>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</si>
  <si>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</si>
  <si>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</si>
  <si>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</si>
  <si>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</si>
  <si>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</si>
  <si>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</si>
  <si>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</si>
  <si>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</si>
  <si>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</si>
  <si>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</si>
  <si>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</si>
  <si>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</si>
  <si>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</si>
  <si>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</si>
  <si>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</si>
  <si>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</si>
  <si>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</si>
  <si>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</si>
  <si>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</si>
  <si>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</si>
  <si>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</si>
  <si>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</si>
  <si>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</si>
  <si>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</si>
  <si>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</si>
  <si>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</si>
  <si>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</si>
  <si>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</si>
  <si>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</si>
  <si>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</si>
  <si>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</si>
  <si>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</si>
  <si>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</si>
  <si>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</si>
  <si>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</si>
  <si>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</si>
  <si>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</si>
  <si>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</si>
  <si>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</si>
  <si>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</si>
  <si>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</si>
  <si>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</si>
  <si>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</si>
  <si>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</si>
  <si>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</si>
  <si>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</si>
  <si>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</si>
  <si>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</si>
  <si>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</si>
  <si>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</si>
  <si>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</si>
  <si>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</si>
  <si>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</si>
  <si>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</si>
  <si>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</si>
  <si>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</si>
  <si>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</si>
  <si>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</si>
  <si>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</si>
  <si>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Organization</t>
  </si>
  <si>
    <t>План</t>
  </si>
  <si>
    <t>Факт предъявляемый</t>
  </si>
  <si>
    <t>Факт принятый</t>
  </si>
  <si>
    <t>новиков</t>
  </si>
  <si>
    <t>12ММфыvvvVVVV4444444444444444444444444444444444444444444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</si>
</sst>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workbookViewId="0"/>
  </sheetViews>
  <sheetFormatPr defaultRowHeight="15" outlineLevelRow="1" x14ac:dyDescent="0.25"/>
  <cols>
    <col min="1" max="1" width="12" customWidth="1"/>
    <col min="2" max="3" width="18" customWidth="1"/>
    <col min="4" max="4" width="36" customWidth="1"/>
    <col min="5" max="5" width="28" customWidth="1"/>
    <col min="6" max="8" width="12" customWidth="1"/>
    <col min="9" max="10" width="18" customWidth="1"/>
    <col min="11" max="11" width="12" customWidth="1"/>
    <col min="12" max="13" width="22" customWidth="1"/>
    <col min="14" max="14" width="12" customWidth="1"/>
    <col min="15" max="17" width="14" customWidth="1"/>
    <col min="18" max="18" width="12" customWidth="1"/>
    <col min="19" max="19" width="10" hidden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t="s">
        <v>19</v>
      </c>
      <c r="B2" t="s">
        <v>20</v>
      </c>
      <c r="D2" t="s">
        <v>21</v>
      </c>
      <c r="L2" s="2">
        <f>IFERROR(IF(COUNTIF($S3:$S7,1)=0,"",SUMIFS(L3:L7,$S3:$S7,1)/COUNTIF($S3:$S7,1)),"")</f>
        <v>605</v>
      </c>
      <c r="M2" s="2">
        <f>IFERROR(IF(COUNTIF($S3:$S7,1)=0,"",SUMIFS(M3:M7,$S3:$S7,1)/COUNTIF($S3:$S7,1)),"")</f>
        <v>145</v>
      </c>
      <c r="N2" s="2">
        <f>IFERROR(IF(COUNTIF($S3:$S7,1)=0,"",SUMIFS(N3:N7,$S3:$S7,1)/COUNTIF($S3:$S7,1)),"")</f>
        <v>8.8888888888888896E+16</v>
      </c>
      <c r="O2" s="1">
        <v>5</v>
      </c>
      <c r="P2" t="s">
        <v>22</v>
      </c>
      <c r="Q2" t="s">
        <v>23</v>
      </c>
      <c r="R2" s="1">
        <v>100</v>
      </c>
      <c r="S2">
        <v>0</v>
      </c>
    </row>
    <row r="3" spans="1:19" outlineLevel="1" x14ac:dyDescent="0.25">
      <c r="A3" t="s">
        <v>24</v>
      </c>
      <c r="B3" t="s">
        <v>25</v>
      </c>
      <c r="C3">
        <f>J3-H3</f>
        <v>12</v>
      </c>
      <c r="D3" t="s">
        <v>26</v>
      </c>
      <c r="E3" t="str">
        <f>IFERROR(СМР!F3,"")</f>
        <v>Organization</v>
      </c>
      <c r="F3" t="s">
        <v>27</v>
      </c>
      <c r="G3">
        <f>IFERROR(СМР!J3,0)</f>
        <v>0.04</v>
      </c>
      <c r="H3" s="1">
        <v>2</v>
      </c>
      <c r="I3" s="1">
        <f>IFERROR(IF(COUNT(СМР!$M$4:$BU$4)=0,"",СМР!L4),"")</f>
        <v>60</v>
      </c>
      <c r="J3" s="1">
        <f>IFERROR(IF(COUNT(СМР!$M$6:$BU$6)=0,"",СМР!L6),"")</f>
        <v>14</v>
      </c>
      <c r="K3" s="1">
        <v>8888888888888890</v>
      </c>
      <c r="L3" s="2">
        <f>IFERROR(IF(OR(H3="",H3=0,I3=""),"",I3/H3*100),"")</f>
        <v>3000</v>
      </c>
      <c r="M3" s="2">
        <f>IFERROR(IF(OR(H3="",H3=0,J3=""),"",J3/H3*100),"")</f>
        <v>700</v>
      </c>
      <c r="N3" s="2">
        <f>IFERROR(IF(OR(H3="",H3=0,K3=""),"",K3/H3*100),"")</f>
        <v>4.4444444444444448E+17</v>
      </c>
      <c r="O3" s="1">
        <v>1.56</v>
      </c>
      <c r="S3">
        <v>1</v>
      </c>
    </row>
    <row r="4" spans="1:19" outlineLevel="1" x14ac:dyDescent="0.25">
      <c r="A4" t="s">
        <v>24</v>
      </c>
      <c r="B4" t="s">
        <v>28</v>
      </c>
      <c r="C4">
        <f>J4-H4</f>
        <v>-15</v>
      </c>
      <c r="D4" t="s">
        <v>29</v>
      </c>
      <c r="E4" t="str">
        <f>IFERROR(СМР!F7,"")</f>
        <v>Organization</v>
      </c>
      <c r="F4" t="s">
        <v>30</v>
      </c>
      <c r="G4">
        <f>IFERROR(СМР!J7,0)</f>
        <v>10</v>
      </c>
      <c r="H4" s="1">
        <v>20</v>
      </c>
      <c r="I4" s="1">
        <f>IFERROR(IF(COUNT(СМР!$M$8:$BU$8)=0,"",СМР!L8),"")</f>
        <v>5</v>
      </c>
      <c r="J4" s="1">
        <f>IFERROR(IF(COUNT(СМР!$M$10:$BU$10)=0,"",СМР!L10),"")</f>
        <v>5</v>
      </c>
      <c r="K4" s="1">
        <v>1</v>
      </c>
      <c r="L4" s="2">
        <f>IFERROR(IF(OR(H4="",H4=0,I4=""),"",I4/H4*100),"")</f>
        <v>25</v>
      </c>
      <c r="M4" s="2">
        <f>IFERROR(IF(OR(H4="",H4=0,J4=""),"",J4/H4*100),"")</f>
        <v>25</v>
      </c>
      <c r="N4" s="2">
        <f>IFERROR(IF(OR(H4="",H4=0,K4=""),"",K4/H4*100),"")</f>
        <v>5</v>
      </c>
      <c r="O4" s="1">
        <v>3.44</v>
      </c>
      <c r="S4">
        <v>1</v>
      </c>
    </row>
    <row r="5" spans="1:19" outlineLevel="1" x14ac:dyDescent="0.25">
      <c r="A5" t="s">
        <v>24</v>
      </c>
      <c r="B5" t="s">
        <v>31</v>
      </c>
      <c r="C5" t="e">
        <f>J5-H5</f>
        <v>#VALUE!</v>
      </c>
      <c r="D5" t="s">
        <v>32</v>
      </c>
      <c r="E5" t="str">
        <f>IFERROR(СМР!F11,"")</f>
        <v>Organization</v>
      </c>
      <c r="F5" t="s">
        <v>33</v>
      </c>
      <c r="G5">
        <f>IFERROR(СМР!J11,0)</f>
        <v>0</v>
      </c>
      <c r="H5" s="1">
        <v>0</v>
      </c>
      <c r="I5" s="1" t="str">
        <f>IFERROR(IF(COUNT(СМР!$M$12:$BU$12)=0,"",СМР!L12),"")</f>
        <v/>
      </c>
      <c r="J5" s="1" t="str">
        <f>IFERROR(IF(COUNT(СМР!$M$14:$BU$14)=0,"",СМР!L14),"")</f>
        <v/>
      </c>
      <c r="K5" s="1">
        <v>0.22</v>
      </c>
      <c r="L5" s="2" t="str">
        <f>IFERROR(IF(OR(H5="",H5=0,I5=""),"",I5/H5*100),"")</f>
        <v/>
      </c>
      <c r="M5" s="2" t="str">
        <f>IFERROR(IF(OR(H5="",H5=0,J5=""),"",J5/H5*100),"")</f>
        <v/>
      </c>
      <c r="N5" s="2" t="str">
        <f>IFERROR(IF(OR(H5="",H5=0,K5=""),"",K5/H5*100),"")</f>
        <v/>
      </c>
      <c r="S5">
        <v>1</v>
      </c>
    </row>
    <row r="6" spans="1:19" outlineLevel="1" x14ac:dyDescent="0.25">
      <c r="A6" t="s">
        <v>24</v>
      </c>
      <c r="B6" t="s">
        <v>34</v>
      </c>
      <c r="C6" t="e">
        <f>J6-H6</f>
        <v>#VALUE!</v>
      </c>
      <c r="D6" t="s">
        <v>35</v>
      </c>
      <c r="E6" t="str">
        <f>IFERROR(СМР!F15,"")</f>
        <v>новиков</v>
      </c>
      <c r="F6" t="s">
        <v>36</v>
      </c>
      <c r="G6">
        <f>IFERROR(СМР!J15,0)</f>
        <v>0</v>
      </c>
      <c r="I6" s="1" t="str">
        <f>IFERROR(IF(COUNT(СМР!$M$16:$BU$16)=0,"",СМР!L16),"")</f>
        <v/>
      </c>
      <c r="J6" s="1" t="str">
        <f>IFERROR(IF(COUNT(СМР!$M$18:$BU$18)=0,"",СМР!L18),"")</f>
        <v/>
      </c>
      <c r="L6" s="2" t="str">
        <f>IFERROR(IF(OR(H6="",H6=0,I6=""),"",I6/H6*100),"")</f>
        <v/>
      </c>
      <c r="M6" s="2" t="str">
        <f>IFERROR(IF(OR(H6="",H6=0,J6=""),"",J6/H6*100),"")</f>
        <v/>
      </c>
      <c r="N6" s="2" t="str">
        <f>IFERROR(IF(OR(H6="",H6=0,K6=""),"",K6/H6*100),"")</f>
        <v/>
      </c>
      <c r="S6">
        <v>1</v>
      </c>
    </row>
    <row r="7" spans="1:19" outlineLevel="1" x14ac:dyDescent="0.25">
      <c r="A7" t="s">
        <v>24</v>
      </c>
      <c r="B7" t="s">
        <v>37</v>
      </c>
      <c r="C7" t="e">
        <f>J7-H7</f>
        <v>#VALUE!</v>
      </c>
      <c r="D7" t="s">
        <v>38</v>
      </c>
      <c r="E7" t="str">
        <f>IFERROR(СМР!F19,"")</f>
        <v>12ММфыvvvVVVV4444444444444444444444444444444444444444444</v>
      </c>
      <c r="F7" t="s">
        <v>39</v>
      </c>
      <c r="G7">
        <f>IFERROR(СМР!J19,0)</f>
        <v>0</v>
      </c>
      <c r="I7" s="1" t="str">
        <f>IFERROR(IF(COUNT(СМР!$M$20:$BU$20)=0,"",СМР!L20),"")</f>
        <v/>
      </c>
      <c r="J7" s="1" t="str">
        <f>IFERROR(IF(COUNT(СМР!$M$22:$BU$22)=0,"",СМР!L22),"")</f>
        <v/>
      </c>
      <c r="L7" s="2" t="str">
        <f>IFERROR(IF(OR(H7="",H7=0,I7=""),"",I7/H7*100),"")</f>
        <v/>
      </c>
      <c r="M7" s="2" t="str">
        <f>IFERROR(IF(OR(H7="",H7=0,J7=""),"",J7/H7*100),"")</f>
        <v/>
      </c>
      <c r="N7" s="2" t="str">
        <f>IFERROR(IF(OR(H7="",H7=0,K7=""),"",K7/H7*100),"")</f>
        <v/>
      </c>
      <c r="S7">
        <v>1</v>
      </c>
    </row>
    <row r="8" spans="1:19" x14ac:dyDescent="0.25">
      <c r="A8" t="s">
        <v>19</v>
      </c>
      <c r="B8" t="s">
        <v>40</v>
      </c>
      <c r="D8" t="s">
        <v>41</v>
      </c>
      <c r="P8" t="s">
        <v>42</v>
      </c>
      <c r="Q8" t="s">
        <v>43</v>
      </c>
      <c r="R8" s="1">
        <v>1.53</v>
      </c>
      <c r="S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3"/>
  <sheetViews>
    <sheetView workbookViewId="0"/>
  </sheetViews>
  <sheetFormatPr defaultRowHeight="15" outlineLevelRow="1" x14ac:dyDescent="0.25"/>
  <cols>
    <col min="1" max="1" width="12" customWidth="1"/>
    <col min="2" max="2" width="18" customWidth="1"/>
    <col min="3" max="3" width="36" customWidth="1"/>
    <col min="4" max="5" width="14" customWidth="1"/>
    <col min="6" max="6" width="28" customWidth="1"/>
    <col min="7" max="7" width="22" customWidth="1"/>
    <col min="8" max="8" width="12" customWidth="1"/>
    <col min="9" max="9" width="24" customWidth="1"/>
    <col min="10" max="12" width="14" customWidth="1"/>
  </cols>
  <sheetData>
    <row r="1" spans="1:73" x14ac:dyDescent="0.25">
      <c r="A1" s="4" t="s">
        <v>44</v>
      </c>
      <c r="B1" s="4" t="s">
        <v>45</v>
      </c>
      <c r="C1" s="4" t="s">
        <v>46</v>
      </c>
      <c r="D1" s="4" t="s">
        <v>15</v>
      </c>
      <c r="E1" s="4" t="s">
        <v>16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  <c r="M1" s="4" t="s">
        <v>54</v>
      </c>
      <c r="N1" s="4" t="s">
        <v>55</v>
      </c>
      <c r="O1" s="4" t="s">
        <v>56</v>
      </c>
      <c r="P1" s="4" t="s">
        <v>57</v>
      </c>
      <c r="Q1" s="4" t="s">
        <v>58</v>
      </c>
      <c r="R1" s="4" t="s">
        <v>59</v>
      </c>
      <c r="S1" s="4" t="s">
        <v>60</v>
      </c>
      <c r="T1" s="4" t="s">
        <v>61</v>
      </c>
      <c r="U1" s="4" t="s">
        <v>62</v>
      </c>
      <c r="V1" s="4" t="s">
        <v>63</v>
      </c>
      <c r="W1" s="4" t="s">
        <v>64</v>
      </c>
      <c r="X1" s="4" t="s">
        <v>65</v>
      </c>
      <c r="Y1" s="4" t="s">
        <v>66</v>
      </c>
      <c r="Z1" s="4" t="s">
        <v>67</v>
      </c>
      <c r="AA1" s="4" t="s">
        <v>68</v>
      </c>
      <c r="AB1" s="4" t="s">
        <v>69</v>
      </c>
      <c r="AC1" s="4" t="s">
        <v>70</v>
      </c>
      <c r="AD1" s="4" t="s">
        <v>71</v>
      </c>
      <c r="AE1" s="4" t="s">
        <v>72</v>
      </c>
      <c r="AF1" s="4" t="s">
        <v>73</v>
      </c>
      <c r="AG1" s="4" t="s">
        <v>74</v>
      </c>
      <c r="AH1" s="4" t="s">
        <v>75</v>
      </c>
      <c r="AI1" s="4" t="s">
        <v>76</v>
      </c>
      <c r="AJ1" s="4" t="s">
        <v>77</v>
      </c>
      <c r="AK1" s="4" t="s">
        <v>78</v>
      </c>
      <c r="AL1" s="4" t="s">
        <v>79</v>
      </c>
      <c r="AM1" s="4" t="s">
        <v>80</v>
      </c>
      <c r="AN1" s="4" t="s">
        <v>81</v>
      </c>
      <c r="AO1" s="4" t="s">
        <v>82</v>
      </c>
      <c r="AP1" s="4" t="s">
        <v>83</v>
      </c>
      <c r="AQ1" s="4" t="s">
        <v>84</v>
      </c>
      <c r="AR1" s="4" t="s">
        <v>85</v>
      </c>
      <c r="AS1" s="4" t="s">
        <v>86</v>
      </c>
      <c r="AT1" s="4" t="s">
        <v>87</v>
      </c>
      <c r="AU1" s="4" t="s">
        <v>88</v>
      </c>
      <c r="AV1" s="4" t="s">
        <v>89</v>
      </c>
      <c r="AW1" s="4" t="s">
        <v>90</v>
      </c>
      <c r="AX1" s="4" t="s">
        <v>91</v>
      </c>
      <c r="AY1" s="4" t="s">
        <v>92</v>
      </c>
      <c r="AZ1" s="4" t="s">
        <v>93</v>
      </c>
      <c r="BA1" s="4" t="s">
        <v>94</v>
      </c>
      <c r="BB1" s="4" t="s">
        <v>95</v>
      </c>
      <c r="BC1" s="4" t="s">
        <v>96</v>
      </c>
      <c r="BD1" s="4" t="s">
        <v>97</v>
      </c>
      <c r="BE1" s="4" t="s">
        <v>98</v>
      </c>
      <c r="BF1" s="4" t="s">
        <v>99</v>
      </c>
      <c r="BG1" s="4" t="s">
        <v>100</v>
      </c>
      <c r="BH1" s="4" t="s">
        <v>101</v>
      </c>
      <c r="BI1" s="4" t="s">
        <v>102</v>
      </c>
      <c r="BJ1" s="4" t="s">
        <v>103</v>
      </c>
      <c r="BK1" s="4" t="s">
        <v>104</v>
      </c>
      <c r="BL1" s="4" t="s">
        <v>105</v>
      </c>
      <c r="BM1" s="4" t="s">
        <v>106</v>
      </c>
      <c r="BN1" s="4" t="s">
        <v>107</v>
      </c>
      <c r="BO1" s="4" t="s">
        <v>108</v>
      </c>
      <c r="BP1" s="4" t="s">
        <v>109</v>
      </c>
      <c r="BQ1" s="4" t="s">
        <v>110</v>
      </c>
      <c r="BR1" s="4" t="s">
        <v>111</v>
      </c>
      <c r="BS1" s="4" t="s">
        <v>112</v>
      </c>
      <c r="BT1" s="4" t="s">
        <v>113</v>
      </c>
      <c r="BU1" s="4" t="s">
        <v>114</v>
      </c>
    </row>
    <row r="2" spans="1:73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</row>
    <row r="3" spans="1:73" outlineLevel="1" x14ac:dyDescent="0.25">
      <c r="A3" s="5" t="s">
        <v>24</v>
      </c>
      <c r="B3" s="5" t="s">
        <v>25</v>
      </c>
      <c r="C3" s="5" t="s">
        <v>26</v>
      </c>
      <c r="D3" s="5"/>
      <c r="E3" s="5"/>
      <c r="F3" s="5" t="s">
        <v>115</v>
      </c>
      <c r="G3" t="s">
        <v>116</v>
      </c>
      <c r="H3" s="5" t="s">
        <v>27</v>
      </c>
      <c r="I3" s="5">
        <v>50</v>
      </c>
      <c r="J3" s="5">
        <v>0.04</v>
      </c>
      <c r="K3" s="5">
        <v>2</v>
      </c>
      <c r="L3">
        <f t="shared" ref="L3:L22" si="0">SUM($M3:$BU3)</f>
        <v>5</v>
      </c>
      <c r="AR3">
        <v>5</v>
      </c>
    </row>
    <row r="4" spans="1:73" outlineLevel="1" x14ac:dyDescent="0.25">
      <c r="A4" s="5" t="s">
        <v>24</v>
      </c>
      <c r="B4" s="5" t="s">
        <v>25</v>
      </c>
      <c r="C4" s="5" t="s">
        <v>26</v>
      </c>
      <c r="D4" s="5"/>
      <c r="E4" s="5"/>
      <c r="F4" s="5" t="s">
        <v>115</v>
      </c>
      <c r="G4" t="s">
        <v>8</v>
      </c>
      <c r="H4" s="5" t="s">
        <v>27</v>
      </c>
      <c r="I4" s="5">
        <v>50</v>
      </c>
      <c r="J4" s="5">
        <v>0.04</v>
      </c>
      <c r="K4" s="5">
        <v>2</v>
      </c>
      <c r="L4">
        <f t="shared" si="0"/>
        <v>60</v>
      </c>
      <c r="N4">
        <v>55</v>
      </c>
      <c r="AR4">
        <v>5</v>
      </c>
    </row>
    <row r="5" spans="1:73" outlineLevel="1" x14ac:dyDescent="0.25">
      <c r="A5" s="5" t="s">
        <v>24</v>
      </c>
      <c r="B5" s="5" t="s">
        <v>25</v>
      </c>
      <c r="C5" s="5" t="s">
        <v>26</v>
      </c>
      <c r="D5" s="5"/>
      <c r="E5" s="5"/>
      <c r="F5" s="5" t="s">
        <v>115</v>
      </c>
      <c r="G5" t="s">
        <v>117</v>
      </c>
      <c r="H5" s="5" t="s">
        <v>27</v>
      </c>
      <c r="I5" s="5">
        <v>50</v>
      </c>
      <c r="J5" s="5">
        <v>0.04</v>
      </c>
      <c r="K5" s="5">
        <v>2</v>
      </c>
      <c r="L5">
        <f t="shared" si="0"/>
        <v>4</v>
      </c>
      <c r="AR5">
        <v>4</v>
      </c>
    </row>
    <row r="6" spans="1:73" outlineLevel="1" x14ac:dyDescent="0.25">
      <c r="A6" s="5" t="s">
        <v>24</v>
      </c>
      <c r="B6" s="5" t="s">
        <v>25</v>
      </c>
      <c r="C6" s="5" t="s">
        <v>26</v>
      </c>
      <c r="D6" s="5"/>
      <c r="E6" s="5"/>
      <c r="F6" s="5" t="s">
        <v>115</v>
      </c>
      <c r="G6" t="s">
        <v>118</v>
      </c>
      <c r="H6" s="5" t="s">
        <v>27</v>
      </c>
      <c r="I6" s="5">
        <v>50</v>
      </c>
      <c r="J6" s="5">
        <v>0.04</v>
      </c>
      <c r="K6" s="5">
        <v>2</v>
      </c>
      <c r="L6">
        <f t="shared" si="0"/>
        <v>14</v>
      </c>
      <c r="AN6">
        <v>10</v>
      </c>
      <c r="AR6">
        <v>4</v>
      </c>
    </row>
    <row r="7" spans="1:73" outlineLevel="1" x14ac:dyDescent="0.25">
      <c r="A7" s="5" t="s">
        <v>24</v>
      </c>
      <c r="B7" s="5" t="s">
        <v>28</v>
      </c>
      <c r="C7" s="5" t="s">
        <v>29</v>
      </c>
      <c r="D7" s="5"/>
      <c r="E7" s="5"/>
      <c r="F7" s="5" t="s">
        <v>115</v>
      </c>
      <c r="G7" t="s">
        <v>116</v>
      </c>
      <c r="H7" s="5" t="s">
        <v>30</v>
      </c>
      <c r="I7" s="5"/>
      <c r="J7" s="5">
        <v>10</v>
      </c>
      <c r="K7" s="5">
        <v>20</v>
      </c>
      <c r="L7">
        <f t="shared" si="0"/>
        <v>5</v>
      </c>
      <c r="AR7">
        <v>5</v>
      </c>
    </row>
    <row r="8" spans="1:73" outlineLevel="1" x14ac:dyDescent="0.25">
      <c r="A8" s="5" t="s">
        <v>24</v>
      </c>
      <c r="B8" s="5" t="s">
        <v>28</v>
      </c>
      <c r="C8" s="5" t="s">
        <v>29</v>
      </c>
      <c r="D8" s="5"/>
      <c r="E8" s="5"/>
      <c r="F8" s="5" t="s">
        <v>115</v>
      </c>
      <c r="G8" t="s">
        <v>8</v>
      </c>
      <c r="H8" s="5" t="s">
        <v>30</v>
      </c>
      <c r="I8" s="5"/>
      <c r="J8" s="5">
        <v>10</v>
      </c>
      <c r="K8" s="5">
        <v>20</v>
      </c>
      <c r="L8">
        <f t="shared" si="0"/>
        <v>5</v>
      </c>
      <c r="AR8">
        <v>5</v>
      </c>
    </row>
    <row r="9" spans="1:73" outlineLevel="1" x14ac:dyDescent="0.25">
      <c r="A9" s="5" t="s">
        <v>24</v>
      </c>
      <c r="B9" s="5" t="s">
        <v>28</v>
      </c>
      <c r="C9" s="5" t="s">
        <v>29</v>
      </c>
      <c r="D9" s="5"/>
      <c r="E9" s="5"/>
      <c r="F9" s="5" t="s">
        <v>115</v>
      </c>
      <c r="G9" t="s">
        <v>117</v>
      </c>
      <c r="H9" s="5" t="s">
        <v>30</v>
      </c>
      <c r="I9" s="5"/>
      <c r="J9" s="5">
        <v>10</v>
      </c>
      <c r="K9" s="5">
        <v>20</v>
      </c>
      <c r="L9">
        <f t="shared" si="0"/>
        <v>5</v>
      </c>
      <c r="AR9">
        <v>5</v>
      </c>
    </row>
    <row r="10" spans="1:73" outlineLevel="1" x14ac:dyDescent="0.25">
      <c r="A10" s="5" t="s">
        <v>24</v>
      </c>
      <c r="B10" s="5" t="s">
        <v>28</v>
      </c>
      <c r="C10" s="5" t="s">
        <v>29</v>
      </c>
      <c r="D10" s="5"/>
      <c r="E10" s="5"/>
      <c r="F10" s="5" t="s">
        <v>115</v>
      </c>
      <c r="G10" t="s">
        <v>118</v>
      </c>
      <c r="H10" s="5" t="s">
        <v>30</v>
      </c>
      <c r="I10" s="5"/>
      <c r="J10" s="5">
        <v>10</v>
      </c>
      <c r="K10" s="5">
        <v>20</v>
      </c>
      <c r="L10">
        <f t="shared" si="0"/>
        <v>5</v>
      </c>
      <c r="AR10">
        <v>5</v>
      </c>
    </row>
    <row r="11" spans="1:73" outlineLevel="1" x14ac:dyDescent="0.25">
      <c r="A11" s="5" t="s">
        <v>24</v>
      </c>
      <c r="B11" s="5" t="s">
        <v>31</v>
      </c>
      <c r="C11" s="5" t="s">
        <v>32</v>
      </c>
      <c r="D11" s="5"/>
      <c r="E11" s="5"/>
      <c r="F11" s="5" t="s">
        <v>115</v>
      </c>
      <c r="G11" t="s">
        <v>116</v>
      </c>
      <c r="H11" s="5" t="s">
        <v>33</v>
      </c>
      <c r="I11" s="5"/>
      <c r="J11" s="5">
        <v>0</v>
      </c>
      <c r="K11" s="5">
        <v>0</v>
      </c>
      <c r="L11">
        <f t="shared" si="0"/>
        <v>0</v>
      </c>
    </row>
    <row r="12" spans="1:73" outlineLevel="1" x14ac:dyDescent="0.25">
      <c r="A12" s="5" t="s">
        <v>24</v>
      </c>
      <c r="B12" s="5" t="s">
        <v>31</v>
      </c>
      <c r="C12" s="5" t="s">
        <v>32</v>
      </c>
      <c r="D12" s="5"/>
      <c r="E12" s="5"/>
      <c r="F12" s="5" t="s">
        <v>115</v>
      </c>
      <c r="G12" t="s">
        <v>8</v>
      </c>
      <c r="H12" s="5" t="s">
        <v>33</v>
      </c>
      <c r="I12" s="5"/>
      <c r="J12" s="5">
        <v>0</v>
      </c>
      <c r="K12" s="5">
        <v>0</v>
      </c>
      <c r="L12">
        <f t="shared" si="0"/>
        <v>0</v>
      </c>
    </row>
    <row r="13" spans="1:73" outlineLevel="1" x14ac:dyDescent="0.25">
      <c r="A13" s="5" t="s">
        <v>24</v>
      </c>
      <c r="B13" s="5" t="s">
        <v>31</v>
      </c>
      <c r="C13" s="5" t="s">
        <v>32</v>
      </c>
      <c r="D13" s="5"/>
      <c r="E13" s="5"/>
      <c r="F13" s="5" t="s">
        <v>115</v>
      </c>
      <c r="G13" t="s">
        <v>117</v>
      </c>
      <c r="H13" s="5" t="s">
        <v>33</v>
      </c>
      <c r="I13" s="5"/>
      <c r="J13" s="5">
        <v>0</v>
      </c>
      <c r="K13" s="5">
        <v>0</v>
      </c>
      <c r="L13">
        <f t="shared" si="0"/>
        <v>0</v>
      </c>
    </row>
    <row r="14" spans="1:73" outlineLevel="1" x14ac:dyDescent="0.25">
      <c r="A14" s="5" t="s">
        <v>24</v>
      </c>
      <c r="B14" s="5" t="s">
        <v>31</v>
      </c>
      <c r="C14" s="5" t="s">
        <v>32</v>
      </c>
      <c r="D14" s="5"/>
      <c r="E14" s="5"/>
      <c r="F14" s="5" t="s">
        <v>115</v>
      </c>
      <c r="G14" t="s">
        <v>118</v>
      </c>
      <c r="H14" s="5" t="s">
        <v>33</v>
      </c>
      <c r="I14" s="5"/>
      <c r="J14" s="5">
        <v>0</v>
      </c>
      <c r="K14" s="5">
        <v>0</v>
      </c>
      <c r="L14">
        <f t="shared" si="0"/>
        <v>0</v>
      </c>
    </row>
    <row r="15" spans="1:73" outlineLevel="1" x14ac:dyDescent="0.25">
      <c r="A15" s="5" t="s">
        <v>24</v>
      </c>
      <c r="B15" s="5" t="s">
        <v>34</v>
      </c>
      <c r="C15" s="5" t="s">
        <v>35</v>
      </c>
      <c r="D15" s="5"/>
      <c r="E15" s="5"/>
      <c r="F15" s="5" t="s">
        <v>119</v>
      </c>
      <c r="G15" t="s">
        <v>116</v>
      </c>
      <c r="H15" s="5" t="s">
        <v>36</v>
      </c>
      <c r="I15" s="5"/>
      <c r="J15" s="5"/>
      <c r="K15" s="5"/>
      <c r="L15">
        <f t="shared" si="0"/>
        <v>0</v>
      </c>
    </row>
    <row r="16" spans="1:73" outlineLevel="1" x14ac:dyDescent="0.25">
      <c r="A16" s="5" t="s">
        <v>24</v>
      </c>
      <c r="B16" s="5" t="s">
        <v>34</v>
      </c>
      <c r="C16" s="5" t="s">
        <v>35</v>
      </c>
      <c r="D16" s="5"/>
      <c r="E16" s="5"/>
      <c r="F16" s="5" t="s">
        <v>119</v>
      </c>
      <c r="G16" t="s">
        <v>8</v>
      </c>
      <c r="H16" s="5" t="s">
        <v>36</v>
      </c>
      <c r="I16" s="5"/>
      <c r="J16" s="5"/>
      <c r="K16" s="5"/>
      <c r="L16">
        <f t="shared" si="0"/>
        <v>0</v>
      </c>
    </row>
    <row r="17" spans="1:12" outlineLevel="1" x14ac:dyDescent="0.25">
      <c r="A17" s="5" t="s">
        <v>24</v>
      </c>
      <c r="B17" s="5" t="s">
        <v>34</v>
      </c>
      <c r="C17" s="5" t="s">
        <v>35</v>
      </c>
      <c r="D17" s="5"/>
      <c r="E17" s="5"/>
      <c r="F17" s="5" t="s">
        <v>119</v>
      </c>
      <c r="G17" t="s">
        <v>117</v>
      </c>
      <c r="H17" s="5" t="s">
        <v>36</v>
      </c>
      <c r="I17" s="5"/>
      <c r="J17" s="5"/>
      <c r="K17" s="5"/>
      <c r="L17">
        <f t="shared" si="0"/>
        <v>0</v>
      </c>
    </row>
    <row r="18" spans="1:12" outlineLevel="1" x14ac:dyDescent="0.25">
      <c r="A18" s="5" t="s">
        <v>24</v>
      </c>
      <c r="B18" s="5" t="s">
        <v>34</v>
      </c>
      <c r="C18" s="5" t="s">
        <v>35</v>
      </c>
      <c r="D18" s="5"/>
      <c r="E18" s="5"/>
      <c r="F18" s="5" t="s">
        <v>119</v>
      </c>
      <c r="G18" t="s">
        <v>118</v>
      </c>
      <c r="H18" s="5" t="s">
        <v>36</v>
      </c>
      <c r="I18" s="5"/>
      <c r="J18" s="5"/>
      <c r="K18" s="5"/>
      <c r="L18">
        <f t="shared" si="0"/>
        <v>0</v>
      </c>
    </row>
    <row r="19" spans="1:12" outlineLevel="1" x14ac:dyDescent="0.25">
      <c r="A19" s="5" t="s">
        <v>24</v>
      </c>
      <c r="B19" s="5" t="s">
        <v>37</v>
      </c>
      <c r="C19" s="5" t="s">
        <v>38</v>
      </c>
      <c r="D19" s="5"/>
      <c r="E19" s="5"/>
      <c r="F19" s="5" t="s">
        <v>120</v>
      </c>
      <c r="G19" t="s">
        <v>116</v>
      </c>
      <c r="H19" s="5" t="s">
        <v>39</v>
      </c>
      <c r="I19" s="5"/>
      <c r="J19" s="5"/>
      <c r="K19" s="5"/>
      <c r="L19">
        <f t="shared" si="0"/>
        <v>0</v>
      </c>
    </row>
    <row r="20" spans="1:12" outlineLevel="1" x14ac:dyDescent="0.25">
      <c r="A20" s="5" t="s">
        <v>24</v>
      </c>
      <c r="B20" s="5" t="s">
        <v>37</v>
      </c>
      <c r="C20" s="5" t="s">
        <v>38</v>
      </c>
      <c r="D20" s="5"/>
      <c r="E20" s="5"/>
      <c r="F20" s="5" t="s">
        <v>120</v>
      </c>
      <c r="G20" t="s">
        <v>8</v>
      </c>
      <c r="H20" s="5" t="s">
        <v>39</v>
      </c>
      <c r="I20" s="5"/>
      <c r="J20" s="5"/>
      <c r="K20" s="5"/>
      <c r="L20">
        <f t="shared" si="0"/>
        <v>0</v>
      </c>
    </row>
    <row r="21" spans="1:12" outlineLevel="1" x14ac:dyDescent="0.25">
      <c r="A21" s="5" t="s">
        <v>24</v>
      </c>
      <c r="B21" s="5" t="s">
        <v>37</v>
      </c>
      <c r="C21" s="5" t="s">
        <v>38</v>
      </c>
      <c r="D21" s="5"/>
      <c r="E21" s="5"/>
      <c r="F21" s="5" t="s">
        <v>120</v>
      </c>
      <c r="G21" t="s">
        <v>117</v>
      </c>
      <c r="H21" s="5" t="s">
        <v>39</v>
      </c>
      <c r="I21" s="5"/>
      <c r="J21" s="5"/>
      <c r="K21" s="5"/>
      <c r="L21">
        <f t="shared" si="0"/>
        <v>0</v>
      </c>
    </row>
    <row r="22" spans="1:12" outlineLevel="1" x14ac:dyDescent="0.25">
      <c r="A22" s="5" t="s">
        <v>24</v>
      </c>
      <c r="B22" s="5" t="s">
        <v>37</v>
      </c>
      <c r="C22" s="5" t="s">
        <v>38</v>
      </c>
      <c r="D22" s="5"/>
      <c r="E22" s="5"/>
      <c r="F22" s="5" t="s">
        <v>120</v>
      </c>
      <c r="G22" t="s">
        <v>118</v>
      </c>
      <c r="H22" s="5" t="s">
        <v>39</v>
      </c>
      <c r="I22" s="5"/>
      <c r="J22" s="5"/>
      <c r="K22" s="5"/>
      <c r="L22">
        <f t="shared" si="0"/>
        <v>0</v>
      </c>
    </row>
    <row r="23" spans="1:12" x14ac:dyDescent="0.25">
      <c r="A23" s="4" t="s">
        <v>19</v>
      </c>
      <c r="B23" s="4" t="s">
        <v>40</v>
      </c>
      <c r="C23" s="4" t="s">
        <v>41</v>
      </c>
      <c r="D23" s="4" t="s">
        <v>42</v>
      </c>
      <c r="E23" s="4" t="s">
        <v>43</v>
      </c>
    </row>
  </sheetData>
  <mergeCells count="50">
    <mergeCell ref="F19:F22"/>
    <mergeCell ref="H19:H22"/>
    <mergeCell ref="I19:I22"/>
    <mergeCell ref="J19:J22"/>
    <mergeCell ref="K19:K22"/>
    <mergeCell ref="A19:A22"/>
    <mergeCell ref="B19:B22"/>
    <mergeCell ref="C19:C22"/>
    <mergeCell ref="D19:D22"/>
    <mergeCell ref="E19:E22"/>
    <mergeCell ref="F15:F18"/>
    <mergeCell ref="H15:H18"/>
    <mergeCell ref="I15:I18"/>
    <mergeCell ref="J15:J18"/>
    <mergeCell ref="K15:K18"/>
    <mergeCell ref="A15:A18"/>
    <mergeCell ref="B15:B18"/>
    <mergeCell ref="C15:C18"/>
    <mergeCell ref="D15:D18"/>
    <mergeCell ref="E15:E18"/>
    <mergeCell ref="F11:F14"/>
    <mergeCell ref="H11:H14"/>
    <mergeCell ref="I11:I14"/>
    <mergeCell ref="J11:J14"/>
    <mergeCell ref="K11:K14"/>
    <mergeCell ref="A11:A14"/>
    <mergeCell ref="B11:B14"/>
    <mergeCell ref="C11:C14"/>
    <mergeCell ref="D11:D14"/>
    <mergeCell ref="E11:E14"/>
    <mergeCell ref="F7:F10"/>
    <mergeCell ref="H7:H10"/>
    <mergeCell ref="I7:I10"/>
    <mergeCell ref="J7:J10"/>
    <mergeCell ref="K7:K10"/>
    <mergeCell ref="A7:A10"/>
    <mergeCell ref="B7:B10"/>
    <mergeCell ref="C7:C10"/>
    <mergeCell ref="D7:D10"/>
    <mergeCell ref="E7:E10"/>
    <mergeCell ref="F3:F6"/>
    <mergeCell ref="H3:H6"/>
    <mergeCell ref="I3:I6"/>
    <mergeCell ref="J3:J6"/>
    <mergeCell ref="K3:K6"/>
    <mergeCell ref="A3:A6"/>
    <mergeCell ref="B3:B6"/>
    <mergeCell ref="C3:C6"/>
    <mergeCell ref="D3:D6"/>
    <mergeCell ref="E3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Общая</vt:lpstr>
      <vt:lpstr>СМР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2026-09-08T06:48:05Z</dcterms:created>
  <dcterms:modified xsi:type="dcterms:W3CDTF">2026-09-29T18:35:25Z</dcterms:modified>
</cp:coreProperties>
</file>